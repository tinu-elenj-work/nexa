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enjicalsolutions-my.sharepoint.com/personal/tinu_elenjical_com/Documents/1. Projections/nexa/config/"/>
    </mc:Choice>
  </mc:AlternateContent>
  <xr:revisionPtr revIDLastSave="147" documentId="8_{4CB28074-751B-429D-A2E9-248D69557F52}" xr6:coauthVersionLast="47" xr6:coauthVersionMax="47" xr10:uidLastSave="{31D1AB68-455C-4EEC-86B5-6DE4F1EBA19E}"/>
  <bookViews>
    <workbookView xWindow="28680" yWindow="-120" windowWidth="29040" windowHeight="15720" xr2:uid="{9E239333-F57E-46FB-A084-08F2DE9C86DA}"/>
  </bookViews>
  <sheets>
    <sheet name="ElapseIT_Vision" sheetId="1" r:id="rId1"/>
    <sheet name="Vision_ElapseIT" sheetId="2" r:id="rId2"/>
  </sheets>
  <definedNames>
    <definedName name="_xlnm._FilterDatabase" localSheetId="0" hidden="1">ElapseIT_Vision!$A$1:$C$29</definedName>
    <definedName name="_xlnm._FilterDatabase" localSheetId="1" hidden="1">Vision_ElapseIT!$A$1:$C$26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2" l="1"/>
  <c r="B33" i="1"/>
  <c r="B32" i="1"/>
  <c r="B26" i="1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3" i="2"/>
  <c r="B4" i="2"/>
  <c r="B5" i="2"/>
  <c r="B6" i="2"/>
  <c r="B7" i="2"/>
  <c r="B8" i="2"/>
  <c r="B10" i="2"/>
  <c r="B11" i="2"/>
  <c r="B2" i="2"/>
  <c r="B19" i="1"/>
  <c r="B15" i="1"/>
  <c r="B9" i="1"/>
  <c r="B8" i="1"/>
  <c r="B20" i="1"/>
  <c r="B3" i="1"/>
  <c r="B28" i="1"/>
  <c r="B24" i="1"/>
  <c r="B10" i="1"/>
  <c r="B4" i="1"/>
  <c r="B25" i="1"/>
  <c r="B30" i="1"/>
  <c r="B29" i="1"/>
  <c r="B22" i="1"/>
  <c r="B21" i="1"/>
  <c r="B27" i="1"/>
  <c r="B2" i="1"/>
  <c r="B5" i="1"/>
  <c r="B7" i="1"/>
  <c r="B6" i="1"/>
  <c r="B14" i="1"/>
  <c r="B13" i="1"/>
  <c r="B31" i="1"/>
  <c r="B12" i="1"/>
  <c r="B17" i="1"/>
  <c r="B23" i="1"/>
  <c r="B18" i="1"/>
  <c r="B16" i="1"/>
  <c r="B11" i="1"/>
  <c r="B9" i="2"/>
</calcChain>
</file>

<file path=xl/sharedStrings.xml><?xml version="1.0" encoding="utf-8"?>
<sst xmlns="http://schemas.openxmlformats.org/spreadsheetml/2006/main" count="112" uniqueCount="58">
  <si>
    <t>ElapseIT</t>
  </si>
  <si>
    <t>Override</t>
  </si>
  <si>
    <t>Vision</t>
  </si>
  <si>
    <t>MMI</t>
  </si>
  <si>
    <t>AFC</t>
  </si>
  <si>
    <t>N/A</t>
  </si>
  <si>
    <t>SBSA</t>
  </si>
  <si>
    <t>AKB</t>
  </si>
  <si>
    <t>AKBANK</t>
  </si>
  <si>
    <t>SNB</t>
  </si>
  <si>
    <t>ALT</t>
  </si>
  <si>
    <t>SNBC</t>
  </si>
  <si>
    <t>AWS</t>
  </si>
  <si>
    <t>D360</t>
  </si>
  <si>
    <t>FRB</t>
  </si>
  <si>
    <t>GAR</t>
  </si>
  <si>
    <t>YKB</t>
  </si>
  <si>
    <t>INV</t>
  </si>
  <si>
    <t>KELA</t>
  </si>
  <si>
    <t>SANLAM</t>
  </si>
  <si>
    <t>LIBFIN</t>
  </si>
  <si>
    <t>MX</t>
  </si>
  <si>
    <t>OFC</t>
  </si>
  <si>
    <t>RMB</t>
  </si>
  <si>
    <t>First Rand Bank Limited</t>
  </si>
  <si>
    <t>Momentum Metropolitan Holdings Limited</t>
  </si>
  <si>
    <t>Investec Banking Limited</t>
  </si>
  <si>
    <t>Eris Properties</t>
  </si>
  <si>
    <t>Elenjical Solutions</t>
  </si>
  <si>
    <t>Murex International Luxembourg S.A</t>
  </si>
  <si>
    <t>Atvance Academy</t>
  </si>
  <si>
    <t>South African Reserve Bank</t>
  </si>
  <si>
    <t>Sanlam Capital Market</t>
  </si>
  <si>
    <t>Eudemonia Primary Co-Op Ltd</t>
  </si>
  <si>
    <t>Saudi National Bank</t>
  </si>
  <si>
    <t>Volantis Capital</t>
  </si>
  <si>
    <t>STRATE</t>
  </si>
  <si>
    <t>Old Mutual Specialised Finance (Pty) Limited</t>
  </si>
  <si>
    <t>Olayan Financing Company</t>
  </si>
  <si>
    <t>Brevan</t>
  </si>
  <si>
    <t>D360 Bank</t>
  </si>
  <si>
    <t>HSBC|UPG|TMFO</t>
  </si>
  <si>
    <t>HSBC Turkey</t>
  </si>
  <si>
    <t>Yapı Kredi</t>
  </si>
  <si>
    <t>Garanti</t>
  </si>
  <si>
    <t>Liberty Group</t>
  </si>
  <si>
    <t>RCS Luxembourg</t>
  </si>
  <si>
    <t>Mitsubishi Financial Group</t>
  </si>
  <si>
    <t>Kela Securities (Pty) Ltd</t>
  </si>
  <si>
    <t>SARB</t>
  </si>
  <si>
    <t>HSBC</t>
  </si>
  <si>
    <t>OMB</t>
  </si>
  <si>
    <t>BH</t>
  </si>
  <si>
    <t>QNB</t>
  </si>
  <si>
    <t>Saudi National Bank Capital</t>
  </si>
  <si>
    <t>Rand Merchant Bank</t>
  </si>
  <si>
    <t>ELENJ</t>
  </si>
  <si>
    <t>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</si>
</sst>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Normal 2" xfId="1" xr:uid="{77CE299B-0F71-4F26-822C-DE340903595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1C20E-340E-4363-9A19-D291BF341CF3}">
  <dimension ref="A1:C33"/>
  <sheetViews>
    <sheetView tabSelected="1" workbookViewId="0">
      <selection activeCell="A35" sqref="A35"/>
    </sheetView>
  </sheetViews>
  <sheetFormatPr defaultRowHeight="15" x14ac:dyDescent="0.25"/>
  <cols>
    <col min="1" max="1" width="41" bestFit="1" customWidth="1"/>
    <col min="2" max="2" width="12.28515625" bestFit="1" customWidth="1"/>
    <col min="3" max="3" width="8.85546875" bestFit="1" customWidth="1"/>
    <col min="7" max="7" width="11.28515625" bestFit="1" customWidth="1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t="s">
        <v>8</v>
      </c>
      <c r="B2" t="str">
        <f>IFERROR(VLOOKUP(A2,Vision_ElapseIT!A:A,1,FALSE),VLOOKUP(C2,Vision_ElapseIT!A:A,1,FALSE))</f>
        <v>AKB</v>
      </c>
      <c r="C2" t="s">
        <v>7</v>
      </c>
    </row>
    <row r="3" spans="1:3" x14ac:dyDescent="0.25">
      <c r="A3" t="s">
        <v>30</v>
      </c>
      <c r="B3" t="e">
        <f>IFERROR(VLOOKUP(A3,Vision_ElapseIT!A:A,1,FALSE),VLOOKUP(C3,Vision_ElapseIT!A:A,1,FALSE))</f>
        <v>#N/A</v>
      </c>
      <c r="C3" t="s">
        <v>5</v>
      </c>
    </row>
    <row r="4" spans="1:3" x14ac:dyDescent="0.25">
      <c r="A4" t="s">
        <v>12</v>
      </c>
      <c r="B4" t="str">
        <f>IFERROR(VLOOKUP(A4,Vision_ElapseIT!A:A,1,FALSE),VLOOKUP(C4,Vision_ElapseIT!A:A,1,FALSE))</f>
        <v>AWS</v>
      </c>
    </row>
    <row r="5" spans="1:3" x14ac:dyDescent="0.25">
      <c r="A5" t="s">
        <v>39</v>
      </c>
      <c r="B5" t="str">
        <f>IFERROR(VLOOKUP(A5,Vision_ElapseIT!A:A,1,FALSE),VLOOKUP(C5,Vision_ElapseIT!A:A,1,FALSE))</f>
        <v>BH</v>
      </c>
      <c r="C5" t="s">
        <v>52</v>
      </c>
    </row>
    <row r="6" spans="1:3" x14ac:dyDescent="0.25">
      <c r="A6" t="s">
        <v>13</v>
      </c>
      <c r="B6" t="str">
        <f>IFERROR(VLOOKUP(A6,Vision_ElapseIT!A:A,1,FALSE),VLOOKUP(C6,Vision_ElapseIT!A:A,1,FALSE))</f>
        <v>D360</v>
      </c>
    </row>
    <row r="7" spans="1:3" x14ac:dyDescent="0.25">
      <c r="A7" t="s">
        <v>40</v>
      </c>
      <c r="B7" t="str">
        <f>IFERROR(VLOOKUP(A7,Vision_ElapseIT!A:A,1,FALSE),VLOOKUP(C7,Vision_ElapseIT!A:A,1,FALSE))</f>
        <v>D360</v>
      </c>
      <c r="C7" t="s">
        <v>13</v>
      </c>
    </row>
    <row r="8" spans="1:3" x14ac:dyDescent="0.25">
      <c r="A8" t="s">
        <v>28</v>
      </c>
      <c r="B8" t="str">
        <f>IFERROR(VLOOKUP(A8,Vision_ElapseIT!A:A,1,FALSE),VLOOKUP(C8,Vision_ElapseIT!A:A,1,FALSE))</f>
        <v>ELENJ</v>
      </c>
      <c r="C8" t="s">
        <v>56</v>
      </c>
    </row>
    <row r="9" spans="1:3" x14ac:dyDescent="0.25">
      <c r="A9" t="s">
        <v>27</v>
      </c>
      <c r="B9" t="e">
        <f>IFERROR(VLOOKUP(A9,Vision_ElapseIT!A:A,1,FALSE),VLOOKUP(C9,Vision_ElapseIT!A:A,1,FALSE))</f>
        <v>#N/A</v>
      </c>
      <c r="C9" t="s">
        <v>5</v>
      </c>
    </row>
    <row r="10" spans="1:3" x14ac:dyDescent="0.25">
      <c r="A10" t="s">
        <v>33</v>
      </c>
      <c r="B10" t="e">
        <f>IFERROR(VLOOKUP(A10,Vision_ElapseIT!A:A,1,FALSE),VLOOKUP(C10,Vision_ElapseIT!A:A,1,FALSE))</f>
        <v>#N/A</v>
      </c>
      <c r="C10" t="s">
        <v>5</v>
      </c>
    </row>
    <row r="11" spans="1:3" x14ac:dyDescent="0.25">
      <c r="A11" t="s">
        <v>24</v>
      </c>
      <c r="B11" t="str">
        <f>IFERROR(VLOOKUP(A11,Vision_ElapseIT!A:A,1,FALSE),VLOOKUP(C11,Vision_ElapseIT!A:A,1,FALSE))</f>
        <v>FRB</v>
      </c>
      <c r="C11" t="s">
        <v>14</v>
      </c>
    </row>
    <row r="12" spans="1:3" x14ac:dyDescent="0.25">
      <c r="A12" t="s">
        <v>44</v>
      </c>
      <c r="B12" t="str">
        <f>IFERROR(VLOOKUP(A12,Vision_ElapseIT!A:A,1,FALSE),VLOOKUP(C12,Vision_ElapseIT!A:A,1,FALSE))</f>
        <v>GAR</v>
      </c>
      <c r="C12" t="s">
        <v>15</v>
      </c>
    </row>
    <row r="13" spans="1:3" x14ac:dyDescent="0.25">
      <c r="A13" t="s">
        <v>42</v>
      </c>
      <c r="B13" t="str">
        <f>IFERROR(VLOOKUP(A13,Vision_ElapseIT!A:A,1,FALSE),VLOOKUP(C13,Vision_ElapseIT!A:A,1,FALSE))</f>
        <v>HSBC</v>
      </c>
      <c r="C13" t="s">
        <v>50</v>
      </c>
    </row>
    <row r="14" spans="1:3" x14ac:dyDescent="0.25">
      <c r="A14" t="s">
        <v>41</v>
      </c>
      <c r="B14" t="str">
        <f>IFERROR(VLOOKUP(A14,Vision_ElapseIT!A:A,1,FALSE),VLOOKUP(C14,Vision_ElapseIT!A:A,1,FALSE))</f>
        <v>HSBC</v>
      </c>
      <c r="C14" t="s">
        <v>50</v>
      </c>
    </row>
    <row r="15" spans="1:3" x14ac:dyDescent="0.25">
      <c r="A15" t="s">
        <v>26</v>
      </c>
      <c r="B15" t="str">
        <f>IFERROR(VLOOKUP(A15,Vision_ElapseIT!A:A,1,FALSE),VLOOKUP(C15,Vision_ElapseIT!A:A,1,FALSE))</f>
        <v>INV</v>
      </c>
      <c r="C15" t="s">
        <v>17</v>
      </c>
    </row>
    <row r="16" spans="1:3" x14ac:dyDescent="0.25">
      <c r="A16" t="s">
        <v>48</v>
      </c>
      <c r="B16" t="str">
        <f>IFERROR(VLOOKUP(A16,Vision_ElapseIT!A:A,1,FALSE),VLOOKUP(C16,Vision_ElapseIT!A:A,1,FALSE))</f>
        <v>KELA</v>
      </c>
      <c r="C16" t="s">
        <v>18</v>
      </c>
    </row>
    <row r="17" spans="1:3" x14ac:dyDescent="0.25">
      <c r="A17" t="s">
        <v>45</v>
      </c>
      <c r="B17" t="str">
        <f>IFERROR(VLOOKUP(A17,Vision_ElapseIT!A:A,1,FALSE),VLOOKUP(C17,Vision_ElapseIT!A:A,1,FALSE))</f>
        <v>LIBFIN</v>
      </c>
      <c r="C17" t="s">
        <v>20</v>
      </c>
    </row>
    <row r="18" spans="1:3" x14ac:dyDescent="0.25">
      <c r="A18" t="s">
        <v>47</v>
      </c>
      <c r="B18" t="e">
        <f>IFERROR(VLOOKUP(A18,Vision_ElapseIT!A:A,1,FALSE),VLOOKUP(C18,Vision_ElapseIT!A:A,1,FALSE))</f>
        <v>#N/A</v>
      </c>
      <c r="C18" t="s">
        <v>5</v>
      </c>
    </row>
    <row r="19" spans="1:3" x14ac:dyDescent="0.25">
      <c r="A19" t="s">
        <v>25</v>
      </c>
      <c r="B19" t="str">
        <f>IFERROR(VLOOKUP(A19,Vision_ElapseIT!A:A,1,FALSE),VLOOKUP(C19,Vision_ElapseIT!A:A,1,FALSE))</f>
        <v>MMI</v>
      </c>
      <c r="C19" t="s">
        <v>3</v>
      </c>
    </row>
    <row r="20" spans="1:3" x14ac:dyDescent="0.25">
      <c r="A20" t="s">
        <v>29</v>
      </c>
      <c r="B20" t="str">
        <f>IFERROR(VLOOKUP(A20,Vision_ElapseIT!A:A,1,FALSE),VLOOKUP(C20,Vision_ElapseIT!A:A,1,FALSE))</f>
        <v>MX</v>
      </c>
      <c r="C20" t="s">
        <v>21</v>
      </c>
    </row>
    <row r="21" spans="1:3" x14ac:dyDescent="0.25">
      <c r="A21" t="s">
        <v>38</v>
      </c>
      <c r="B21" t="str">
        <f>IFERROR(VLOOKUP(A21,Vision_ElapseIT!A:A,1,FALSE),VLOOKUP(C21,Vision_ElapseIT!A:A,1,FALSE))</f>
        <v>OFC</v>
      </c>
      <c r="C21" t="s">
        <v>22</v>
      </c>
    </row>
    <row r="22" spans="1:3" x14ac:dyDescent="0.25">
      <c r="A22" t="s">
        <v>37</v>
      </c>
      <c r="B22" t="str">
        <f>IFERROR(VLOOKUP(A22,Vision_ElapseIT!A:A,1,FALSE),VLOOKUP(C22,Vision_ElapseIT!A:A,1,FALSE))</f>
        <v>OMB</v>
      </c>
      <c r="C22" t="s">
        <v>51</v>
      </c>
    </row>
    <row r="23" spans="1:3" x14ac:dyDescent="0.25">
      <c r="A23" t="s">
        <v>46</v>
      </c>
      <c r="B23" t="e">
        <f>IFERROR(VLOOKUP(A23,Vision_ElapseIT!A:A,1,FALSE),VLOOKUP(C23,Vision_ElapseIT!A:A,1,FALSE))</f>
        <v>#N/A</v>
      </c>
      <c r="C23" t="s">
        <v>5</v>
      </c>
    </row>
    <row r="24" spans="1:3" x14ac:dyDescent="0.25">
      <c r="A24" t="s">
        <v>32</v>
      </c>
      <c r="B24" t="str">
        <f>IFERROR(VLOOKUP(A24,Vision_ElapseIT!A:A,1,FALSE),VLOOKUP(C24,Vision_ElapseIT!A:A,1,FALSE))</f>
        <v>SANLAM</v>
      </c>
      <c r="C24" t="s">
        <v>19</v>
      </c>
    </row>
    <row r="25" spans="1:3" x14ac:dyDescent="0.25">
      <c r="A25" t="s">
        <v>34</v>
      </c>
      <c r="B25" t="str">
        <f>IFERROR(VLOOKUP(A25,Vision_ElapseIT!A:A,1,FALSE),VLOOKUP(C25,Vision_ElapseIT!A:A,1,FALSE))</f>
        <v>SNB</v>
      </c>
      <c r="C25" t="s">
        <v>9</v>
      </c>
    </row>
    <row r="26" spans="1:3" x14ac:dyDescent="0.25">
      <c r="A26" t="s">
        <v>54</v>
      </c>
      <c r="B26" t="str">
        <f>IFERROR(VLOOKUP(A26,Vision_ElapseIT!A:A,1,FALSE),VLOOKUP(C26,Vision_ElapseIT!A:A,1,FALSE))</f>
        <v>SNBC</v>
      </c>
      <c r="C26" t="s">
        <v>11</v>
      </c>
    </row>
    <row r="27" spans="1:3" x14ac:dyDescent="0.25">
      <c r="A27" t="s">
        <v>6</v>
      </c>
      <c r="B27" t="str">
        <f>IFERROR(VLOOKUP(A27,Vision_ElapseIT!A:A,1,FALSE),VLOOKUP(C27,Vision_ElapseIT!A:A,1,FALSE))</f>
        <v>SBSA</v>
      </c>
    </row>
    <row r="28" spans="1:3" x14ac:dyDescent="0.25">
      <c r="A28" t="s">
        <v>31</v>
      </c>
      <c r="B28" t="str">
        <f>IFERROR(VLOOKUP(A28,Vision_ElapseIT!A:A,1,FALSE),VLOOKUP(C28,Vision_ElapseIT!A:A,1,FALSE))</f>
        <v>SARB</v>
      </c>
      <c r="C28" t="s">
        <v>49</v>
      </c>
    </row>
    <row r="29" spans="1:3" x14ac:dyDescent="0.25">
      <c r="A29" t="s">
        <v>36</v>
      </c>
      <c r="B29" t="e">
        <f>IFERROR(VLOOKUP(A29,Vision_ElapseIT!A:A,1,FALSE),VLOOKUP(C29,Vision_ElapseIT!A:A,1,FALSE))</f>
        <v>#N/A</v>
      </c>
      <c r="C29" t="s">
        <v>5</v>
      </c>
    </row>
    <row r="30" spans="1:3" x14ac:dyDescent="0.25">
      <c r="A30" t="s">
        <v>35</v>
      </c>
      <c r="B30" t="e">
        <f>IFERROR(VLOOKUP(A30,Vision_ElapseIT!A:A,1,FALSE),VLOOKUP(C30,Vision_ElapseIT!A:A,1,FALSE))</f>
        <v>#N/A</v>
      </c>
      <c r="C30" t="s">
        <v>5</v>
      </c>
    </row>
    <row r="31" spans="1:3" x14ac:dyDescent="0.25">
      <c r="A31" t="s">
        <v>43</v>
      </c>
      <c r="B31" t="str">
        <f>IFERROR(VLOOKUP(A31,Vision_ElapseIT!A:A,1,FALSE),VLOOKUP(C31,Vision_ElapseIT!A:A,1,FALSE))</f>
        <v>YKB</v>
      </c>
      <c r="C31" t="s">
        <v>16</v>
      </c>
    </row>
    <row r="32" spans="1:3" x14ac:dyDescent="0.25">
      <c r="A32" t="s">
        <v>55</v>
      </c>
      <c r="B32" t="str">
        <f>IFERROR(VLOOKUP(A32,Vision_ElapseIT!A:A,1,FALSE),VLOOKUP(C32,Vision_ElapseIT!A:A,1,FALSE))</f>
        <v>RMB</v>
      </c>
      <c r="C32" t="s">
        <v>23</v>
      </c>
    </row>
    <row r="33" spans="1:2" x14ac:dyDescent="0.25">
      <c r="A33" t="s">
        <v>57</v>
      </c>
      <c r="B33" t="str">
        <f>IFERROR(VLOOKUP(A33,Vision_ElapseIT!A:A,1,FALSE),VLOOKUP(C33,Vision_ElapseIT!A:A,1,FALSE))</f>
        <v>FG</v>
      </c>
    </row>
  </sheetData>
  <conditionalFormatting sqref="B1:B1048576">
    <cfRule type="cellIs" dxfId="0" priority="1" operator="equal">
      <formula>"To Map"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28BD2-C9F3-4508-BFE9-25C5C8FCF172}">
  <dimension ref="A1:C28"/>
  <sheetViews>
    <sheetView workbookViewId="0">
      <selection activeCell="C29" sqref="C29"/>
    </sheetView>
  </sheetViews>
  <sheetFormatPr defaultColWidth="9" defaultRowHeight="15" x14ac:dyDescent="0.25"/>
  <cols>
    <col min="1" max="1" width="8.85546875" bestFit="1" customWidth="1"/>
    <col min="2" max="3" width="38.85546875" bestFit="1" customWidth="1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x14ac:dyDescent="0.25">
      <c r="A2" t="s">
        <v>4</v>
      </c>
      <c r="B2" t="e">
        <f>IFERROR(VLOOKUP(A2,ElapseIT_Vision!A:A,1,FALSE),VLOOKUP(C2,ElapseIT_Vision!A:A,1,FALSE))</f>
        <v>#N/A</v>
      </c>
    </row>
    <row r="3" spans="1:3" x14ac:dyDescent="0.25">
      <c r="A3" t="s">
        <v>7</v>
      </c>
      <c r="B3" t="str">
        <f>IFERROR(VLOOKUP(A3,ElapseIT_Vision!A:A,1,FALSE),VLOOKUP(C3,ElapseIT_Vision!A:A,1,FALSE))</f>
        <v>AKBANK</v>
      </c>
      <c r="C3" t="s">
        <v>8</v>
      </c>
    </row>
    <row r="4" spans="1:3" x14ac:dyDescent="0.25">
      <c r="A4" t="s">
        <v>10</v>
      </c>
      <c r="B4" t="e">
        <f>IFERROR(VLOOKUP(A4,ElapseIT_Vision!A:A,1,FALSE),VLOOKUP(C4,ElapseIT_Vision!A:A,1,FALSE))</f>
        <v>#N/A</v>
      </c>
    </row>
    <row r="5" spans="1:3" x14ac:dyDescent="0.25">
      <c r="A5" t="s">
        <v>12</v>
      </c>
      <c r="B5" t="str">
        <f>IFERROR(VLOOKUP(A5,ElapseIT_Vision!A:A,1,FALSE),VLOOKUP(C5,ElapseIT_Vision!A:A,1,FALSE))</f>
        <v>AWS</v>
      </c>
    </row>
    <row r="6" spans="1:3" x14ac:dyDescent="0.25">
      <c r="A6" t="s">
        <v>52</v>
      </c>
      <c r="B6" t="str">
        <f>IFERROR(VLOOKUP(A6,ElapseIT_Vision!A:A,1,FALSE),VLOOKUP(C6,ElapseIT_Vision!A:A,1,FALSE))</f>
        <v>Brevan</v>
      </c>
      <c r="C6" t="s">
        <v>39</v>
      </c>
    </row>
    <row r="7" spans="1:3" x14ac:dyDescent="0.25">
      <c r="A7" t="s">
        <v>13</v>
      </c>
      <c r="B7" t="str">
        <f>IFERROR(VLOOKUP(A7,ElapseIT_Vision!A:A,1,FALSE),VLOOKUP(C7,ElapseIT_Vision!A:A,1,FALSE))</f>
        <v>D360</v>
      </c>
    </row>
    <row r="8" spans="1:3" x14ac:dyDescent="0.25">
      <c r="A8" t="s">
        <v>56</v>
      </c>
      <c r="B8" t="str">
        <f>IFERROR(VLOOKUP(A8,ElapseIT_Vision!A:A,1,FALSE),VLOOKUP(C8,ElapseIT_Vision!A:A,1,FALSE))</f>
        <v>Elenjical Solutions</v>
      </c>
      <c r="C8" t="s">
        <v>28</v>
      </c>
    </row>
    <row r="9" spans="1:3" x14ac:dyDescent="0.25">
      <c r="A9" t="s">
        <v>14</v>
      </c>
      <c r="B9" t="str">
        <f>IFERROR(VLOOKUP(A9,ElapseIT_Vision!A:A,1,FALSE),VLOOKUP(C9,ElapseIT_Vision!A:A,1,FALSE))</f>
        <v>First Rand Bank Limited</v>
      </c>
      <c r="C9" t="s">
        <v>24</v>
      </c>
    </row>
    <row r="10" spans="1:3" x14ac:dyDescent="0.25">
      <c r="A10" t="s">
        <v>15</v>
      </c>
      <c r="B10" t="str">
        <f>IFERROR(VLOOKUP(A10,ElapseIT_Vision!A:A,1,FALSE),VLOOKUP(C10,ElapseIT_Vision!A:A,1,FALSE))</f>
        <v>Garanti</v>
      </c>
      <c r="C10" t="s">
        <v>44</v>
      </c>
    </row>
    <row r="11" spans="1:3" x14ac:dyDescent="0.25">
      <c r="A11" t="s">
        <v>50</v>
      </c>
      <c r="B11" t="str">
        <f>IFERROR(VLOOKUP(A11,ElapseIT_Vision!A:A,1,FALSE),VLOOKUP(C11,ElapseIT_Vision!A:A,1,FALSE))</f>
        <v>HSBC Turkey</v>
      </c>
      <c r="C11" t="s">
        <v>42</v>
      </c>
    </row>
    <row r="12" spans="1:3" x14ac:dyDescent="0.25">
      <c r="A12" t="s">
        <v>50</v>
      </c>
      <c r="B12" t="str">
        <f>IFERROR(VLOOKUP(A12,ElapseIT_Vision!A:A,1,FALSE),VLOOKUP(C12,ElapseIT_Vision!A:A,1,FALSE))</f>
        <v>HSBC|UPG|TMFO</v>
      </c>
      <c r="C12" t="s">
        <v>41</v>
      </c>
    </row>
    <row r="13" spans="1:3" x14ac:dyDescent="0.25">
      <c r="A13" t="s">
        <v>17</v>
      </c>
      <c r="B13" t="str">
        <f>IFERROR(VLOOKUP(A13,ElapseIT_Vision!A:A,1,FALSE),VLOOKUP(C13,ElapseIT_Vision!A:A,1,FALSE))</f>
        <v>Investec Banking Limited</v>
      </c>
      <c r="C13" t="s">
        <v>26</v>
      </c>
    </row>
    <row r="14" spans="1:3" x14ac:dyDescent="0.25">
      <c r="A14" t="s">
        <v>18</v>
      </c>
      <c r="B14" t="str">
        <f>IFERROR(VLOOKUP(A14,ElapseIT_Vision!A:A,1,FALSE),VLOOKUP(C14,ElapseIT_Vision!A:A,1,FALSE))</f>
        <v>Kela Securities (Pty) Ltd</v>
      </c>
      <c r="C14" t="s">
        <v>48</v>
      </c>
    </row>
    <row r="15" spans="1:3" x14ac:dyDescent="0.25">
      <c r="A15" t="s">
        <v>20</v>
      </c>
      <c r="B15" t="str">
        <f>IFERROR(VLOOKUP(A15,ElapseIT_Vision!A:A,1,FALSE),VLOOKUP(C15,ElapseIT_Vision!A:A,1,FALSE))</f>
        <v>Liberty Group</v>
      </c>
      <c r="C15" t="s">
        <v>45</v>
      </c>
    </row>
    <row r="16" spans="1:3" x14ac:dyDescent="0.25">
      <c r="A16" t="s">
        <v>3</v>
      </c>
      <c r="B16" t="str">
        <f>IFERROR(VLOOKUP(A16,ElapseIT_Vision!A:A,1,FALSE),VLOOKUP(C16,ElapseIT_Vision!A:A,1,FALSE))</f>
        <v>Momentum Metropolitan Holdings Limited</v>
      </c>
      <c r="C16" t="s">
        <v>25</v>
      </c>
    </row>
    <row r="17" spans="1:3" x14ac:dyDescent="0.25">
      <c r="A17" t="s">
        <v>21</v>
      </c>
      <c r="B17" t="str">
        <f>IFERROR(VLOOKUP(A17,ElapseIT_Vision!A:A,1,FALSE),VLOOKUP(C17,ElapseIT_Vision!A:A,1,FALSE))</f>
        <v>Murex International Luxembourg S.A</v>
      </c>
      <c r="C17" t="s">
        <v>29</v>
      </c>
    </row>
    <row r="18" spans="1:3" x14ac:dyDescent="0.25">
      <c r="A18" t="s">
        <v>22</v>
      </c>
      <c r="B18" t="str">
        <f>IFERROR(VLOOKUP(A18,ElapseIT_Vision!A:A,1,FALSE),VLOOKUP(C18,ElapseIT_Vision!A:A,1,FALSE))</f>
        <v>Olayan Financing Company</v>
      </c>
      <c r="C18" t="s">
        <v>38</v>
      </c>
    </row>
    <row r="19" spans="1:3" x14ac:dyDescent="0.25">
      <c r="A19" t="s">
        <v>51</v>
      </c>
      <c r="B19" t="str">
        <f>IFERROR(VLOOKUP(A19,ElapseIT_Vision!A:A,1,FALSE),VLOOKUP(C19,ElapseIT_Vision!A:A,1,FALSE))</f>
        <v>Old Mutual Specialised Finance (Pty) Limited</v>
      </c>
      <c r="C19" t="s">
        <v>37</v>
      </c>
    </row>
    <row r="20" spans="1:3" x14ac:dyDescent="0.25">
      <c r="A20" t="s">
        <v>53</v>
      </c>
      <c r="B20" t="e">
        <f>IFERROR(VLOOKUP(A20,ElapseIT_Vision!A:A,1,FALSE),VLOOKUP(C20,ElapseIT_Vision!A:A,1,FALSE))</f>
        <v>#N/A</v>
      </c>
    </row>
    <row r="21" spans="1:3" x14ac:dyDescent="0.25">
      <c r="A21" t="s">
        <v>23</v>
      </c>
      <c r="B21" t="str">
        <f>IFERROR(VLOOKUP(A21,ElapseIT_Vision!A:A,1,FALSE),VLOOKUP(C21,ElapseIT_Vision!A:A,1,FALSE))</f>
        <v>Rand Merchant Bank</v>
      </c>
      <c r="C21" t="s">
        <v>55</v>
      </c>
    </row>
    <row r="22" spans="1:3" x14ac:dyDescent="0.25">
      <c r="A22" t="s">
        <v>19</v>
      </c>
      <c r="B22" t="str">
        <f>IFERROR(VLOOKUP(A22,ElapseIT_Vision!A:A,1,FALSE),VLOOKUP(C22,ElapseIT_Vision!A:A,1,FALSE))</f>
        <v>Sanlam Capital Market</v>
      </c>
      <c r="C22" t="s">
        <v>32</v>
      </c>
    </row>
    <row r="23" spans="1:3" x14ac:dyDescent="0.25">
      <c r="A23" t="s">
        <v>49</v>
      </c>
      <c r="B23" t="str">
        <f>IFERROR(VLOOKUP(A23,ElapseIT_Vision!A:A,1,FALSE),VLOOKUP(C23,ElapseIT_Vision!A:A,1,FALSE))</f>
        <v>South African Reserve Bank</v>
      </c>
      <c r="C23" t="s">
        <v>31</v>
      </c>
    </row>
    <row r="24" spans="1:3" x14ac:dyDescent="0.25">
      <c r="A24" t="s">
        <v>6</v>
      </c>
      <c r="B24" t="str">
        <f>IFERROR(VLOOKUP(A24,ElapseIT_Vision!A:A,1,FALSE),VLOOKUP(C24,ElapseIT_Vision!A:A,1,FALSE))</f>
        <v>SBSA</v>
      </c>
    </row>
    <row r="25" spans="1:3" x14ac:dyDescent="0.25">
      <c r="A25" t="s">
        <v>9</v>
      </c>
      <c r="B25" t="str">
        <f>IFERROR(VLOOKUP(A25,ElapseIT_Vision!A:A,1,FALSE),VLOOKUP(C25,ElapseIT_Vision!A:A,1,FALSE))</f>
        <v>Saudi National Bank</v>
      </c>
      <c r="C25" t="s">
        <v>34</v>
      </c>
    </row>
    <row r="26" spans="1:3" x14ac:dyDescent="0.25">
      <c r="A26" t="s">
        <v>11</v>
      </c>
      <c r="B26" t="e">
        <f>IFERROR(VLOOKUP(A26,ElapseIT_Vision!A:A,1,FALSE),VLOOKUP(C26,ElapseIT_Vision!A:A,1,FALSE))</f>
        <v>#N/A</v>
      </c>
    </row>
    <row r="27" spans="1:3" x14ac:dyDescent="0.25">
      <c r="A27" t="s">
        <v>16</v>
      </c>
      <c r="B27" t="str">
        <f>IFERROR(VLOOKUP(A27,ElapseIT_Vision!A:A,1,FALSE),VLOOKUP(C27,ElapseIT_Vision!A:A,1,FALSE))</f>
        <v>Yapı Kredi</v>
      </c>
      <c r="C27" t="s">
        <v>43</v>
      </c>
    </row>
    <row r="28" spans="1:3" x14ac:dyDescent="0.25">
      <c r="A28" t="s">
        <v>57</v>
      </c>
      <c r="B28" t="str">
        <f>IFERROR(VLOOKUP(A28,ElapseIT_Vision!A:A,1,FALSE),VLOOKUP(C28,ElapseIT_Vision!A:A,1,FALSE))</f>
        <v>FG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ElapseIT_Vision</vt:lpstr>
      <vt:lpstr>Vision_ElapseIT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Tinu Sabu Elenjical</dc:creator>
  <cp:lastModifiedBy>Tinu Sabu Elenjical</cp:lastModifiedBy>
  <dcterms:created xsi:type="dcterms:W3CDTF">2025-07-31T06:22:13Z</dcterms:created>
  <dcterms:modified xsi:type="dcterms:W3CDTF">2026-01-12T12:16:32Z</dcterms:modified>
</cp:coreProperties>
</file>